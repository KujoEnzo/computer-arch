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<sst xmlns="http://schemas.openxmlformats.org/spreadsheetml/2006/main" count="12" uniqueCount="11">
  <si>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MatN</t>
  </si>
  <si>
    <t>内积</t>
  </si>
  <si>
    <t>Av内积</t>
  </si>
  <si>
    <t>加速内积</t>
  </si>
  <si>
    <t>Av加速内积</t>
  </si>
  <si>
    <t>加速比</t>
  </si>
  <si>
    <t>ArrN</t>
  </si>
  <si>
    <t>数列</t>
  </si>
  <si>
    <t>Av数列</t>
  </si>
  <si>
    <t>加速数列</t>
  </si>
  <si>
    <t>Av加速数列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</si>
</sst>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workbookViewId="0">
      <selection activeCell="O9" sqref="O9"/>
    </sheetView>
  </sheetViews>
  <sheetFormatPr defaultColWidth="9" defaultRowHeight="14" outlineLevelRow="5"/>
  <cols>
    <col min="9" max="10" width="12.8181818181818"/>
  </cols>
  <sheetData>
    <row r="1" spans="1:20">
      <c r="A1" t="s">
        <v>0</v>
      </c>
      <c r="B1" s="1" t="s">
        <v>1</v>
      </c>
      <c r="C1" s="1"/>
      <c r="D1" s="1"/>
      <c r="E1" t="s">
        <v>2</v>
      </c>
      <c r="F1" t="s">
        <v>3</v>
      </c>
      <c r="G1"/>
      <c r="H1"/>
      <c r="I1" t="s">
        <v>4</v>
      </c>
      <c r="J1" t="s">
        <v>5</v>
      </c>
      <c r="K1" t="s">
        <v>6</v>
      </c>
      <c r="L1" t="s">
        <v>7</v>
      </c>
      <c r="M1"/>
      <c r="N1"/>
      <c r="O1" t="s">
        <v>8</v>
      </c>
      <c r="P1" t="s">
        <v>9</v>
      </c>
      <c r="Q1"/>
      <c r="R1"/>
      <c r="S1" t="s">
        <v>10</v>
      </c>
      <c r="T1" t="s">
        <v>5</v>
      </c>
    </row>
    <row r="2" spans="1:20">
      <c r="A2">
        <v>128</v>
      </c>
      <c r="B2">
        <v>1.6</v>
      </c>
      <c r="C2">
        <v>1.6</v>
      </c>
      <c r="D2">
        <v>1.6</v>
      </c>
      <c r="E2">
        <f>AVERAGE(B2:D2)</f>
        <v>1.6</v>
      </c>
      <c r="F2">
        <v>1.6</v>
      </c>
      <c r="G2">
        <v>1.4</v>
      </c>
      <c r="H2">
        <v>1.4</v>
      </c>
      <c r="I2">
        <f>AVERAGE(F2:H2)</f>
        <v>1.46666666666667</v>
      </c>
      <c r="J2">
        <f>E2/I2</f>
        <v>1.09090909090909</v>
      </c>
      <c r="K2">
        <v>10000</v>
      </c>
      <c r="L2">
        <v>0.2</v>
      </c>
      <c r="M2">
        <v>0.44</v>
      </c>
      <c r="N2">
        <v>0.2</v>
      </c>
      <c r="O2">
        <f>AVERAGE(L2:N2)</f>
        <v>0.28</v>
      </c>
      <c r="P2">
        <v>0.2</v>
      </c>
      <c r="Q2">
        <v>0.44</v>
      </c>
      <c r="R2">
        <v>0.18</v>
      </c>
      <c r="S2">
        <f>AVERAGE(P2:R2)</f>
        <v>0.273333333333333</v>
      </c>
      <c r="T2">
        <f>O2/S2</f>
        <v>1.02439024390244</v>
      </c>
    </row>
    <row r="3" spans="1:20">
      <c r="A3">
        <v>256</v>
      </c>
      <c r="B3">
        <v>5.8</v>
      </c>
      <c r="C3">
        <v>3</v>
      </c>
      <c r="D3">
        <v>5</v>
      </c>
      <c r="E3">
        <f>AVERAGE(B3:D3)</f>
        <v>4.6</v>
      </c>
      <c r="F3">
        <v>5.8</v>
      </c>
      <c r="G3">
        <v>2.8</v>
      </c>
      <c r="H3">
        <v>3.8</v>
      </c>
      <c r="I3">
        <f>AVERAGE(F3:H3)</f>
        <v>4.13333333333333</v>
      </c>
      <c r="J3">
        <f>E3/I3</f>
        <v>1.11290322580645</v>
      </c>
      <c r="K3">
        <v>50000</v>
      </c>
      <c r="L3">
        <v>2.48</v>
      </c>
      <c r="M3">
        <v>1.56</v>
      </c>
      <c r="N3">
        <v>2.3</v>
      </c>
      <c r="O3">
        <f>AVERAGE(L3:N3)</f>
        <v>2.11333333333333</v>
      </c>
      <c r="P3">
        <v>1.18</v>
      </c>
      <c r="Q3">
        <v>1</v>
      </c>
      <c r="R3">
        <v>1.98</v>
      </c>
      <c r="S3">
        <f>AVERAGE(P3:R3)</f>
        <v>1.38666666666667</v>
      </c>
      <c r="T3">
        <f>O3/S3</f>
        <v>1.52403846153846</v>
      </c>
    </row>
    <row r="4" spans="1:20">
      <c r="A4">
        <v>512</v>
      </c>
      <c r="B4">
        <v>12.2</v>
      </c>
      <c r="C4">
        <v>25.2</v>
      </c>
      <c r="D4">
        <v>16.6</v>
      </c>
      <c r="E4">
        <f>AVERAGE(B4:D4)</f>
        <v>18</v>
      </c>
      <c r="F4">
        <v>13.4</v>
      </c>
      <c r="G4">
        <v>24</v>
      </c>
      <c r="H4">
        <v>11.8</v>
      </c>
      <c r="I4">
        <f>AVERAGE(F4:H4)</f>
        <v>16.4</v>
      </c>
      <c r="J4">
        <f>E4/I4</f>
        <v>1.09756097560976</v>
      </c>
      <c r="K4">
        <v>100000</v>
      </c>
      <c r="L4">
        <v>4.2</v>
      </c>
      <c r="M4">
        <v>4.72</v>
      </c>
      <c r="N4">
        <v>4.54</v>
      </c>
      <c r="O4">
        <f>AVERAGE(L4:N4)</f>
        <v>4.48666666666667</v>
      </c>
      <c r="P4">
        <v>3.8</v>
      </c>
      <c r="Q4">
        <v>3.32</v>
      </c>
      <c r="R4">
        <v>3.23</v>
      </c>
      <c r="S4">
        <f>AVERAGE(P4:R4)</f>
        <v>3.45</v>
      </c>
      <c r="T4">
        <f>O4/S4</f>
        <v>1.30048309178744</v>
      </c>
    </row>
    <row r="5" spans="1:20">
      <c r="A5">
        <v>1024</v>
      </c>
      <c r="B5">
        <v>96</v>
      </c>
      <c r="C5">
        <v>80.2</v>
      </c>
      <c r="D5">
        <v>93</v>
      </c>
      <c r="E5">
        <f>AVERAGE(B5:D5)</f>
        <v>89.7333333333333</v>
      </c>
      <c r="F5">
        <v>101.6</v>
      </c>
      <c r="G5">
        <v>87</v>
      </c>
      <c r="H5">
        <v>94.7</v>
      </c>
      <c r="I5">
        <f>AVERAGE(F5:H5)</f>
        <v>94.4333333333333</v>
      </c>
      <c r="J5">
        <f>E5/I5</f>
        <v>0.950229438757501</v>
      </c>
      <c r="K5">
        <v>500000</v>
      </c>
      <c r="L5">
        <v>20.54</v>
      </c>
      <c r="M5">
        <v>20.02</v>
      </c>
      <c r="N5">
        <v>20.24</v>
      </c>
      <c r="O5">
        <f>AVERAGE(L5:N5)</f>
        <v>20.2666666666667</v>
      </c>
      <c r="P5">
        <v>19.72</v>
      </c>
      <c r="Q5">
        <v>19.9</v>
      </c>
      <c r="R5">
        <v>19.4</v>
      </c>
      <c r="S5">
        <f>AVERAGE(P5:R5)</f>
        <v>19.6733333333333</v>
      </c>
      <c r="T5">
        <f>O5/S5</f>
        <v>1.03015926804473</v>
      </c>
    </row>
    <row r="6" spans="1:20">
      <c r="A6">
        <v>2048</v>
      </c>
      <c r="B6">
        <v>538</v>
      </c>
      <c r="C6">
        <v>552.6</v>
      </c>
      <c r="D6">
        <v>569.2</v>
      </c>
      <c r="E6">
        <f>AVERAGE(B6:D6)</f>
        <v>553.266666666667</v>
      </c>
      <c r="F6">
        <v>349</v>
      </c>
      <c r="G6">
        <v>340.2</v>
      </c>
      <c r="H6">
        <v>338.2</v>
      </c>
      <c r="I6">
        <f>AVERAGE(F6:H6)</f>
        <v>342.466666666667</v>
      </c>
      <c r="J6">
        <f>E6/I6</f>
        <v>1.61553435857504</v>
      </c>
      <c r="K6">
        <v>1000000</v>
      </c>
      <c r="L6">
        <v>42.72</v>
      </c>
      <c r="M6">
        <v>42.36</v>
      </c>
      <c r="N6">
        <v>39.04</v>
      </c>
      <c r="O6">
        <f>AVERAGE(L6:N6)</f>
        <v>41.3733333333333</v>
      </c>
      <c r="P6">
        <v>36.98</v>
      </c>
      <c r="Q6">
        <v>40.28</v>
      </c>
      <c r="R6">
        <v>39.38</v>
      </c>
      <c r="S6">
        <f>AVERAGE(P6:R6)</f>
        <v>38.88</v>
      </c>
      <c r="T6">
        <f>O6/S6</f>
        <v>1.06412894375857</v>
      </c>
    </row>
  </sheetData>
  <mergeCells count="1">
    <mergeCell ref="B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田茂炜</dc:creator>
  <cp:lastModifiedBy>田茂炜</cp:lastModifiedBy>
  <dcterms:created xsi:type="dcterms:W3CDTF">2023-05-12T11:15:00Z</dcterms:created>
  <dcterms:modified xsi:type="dcterms:W3CDTF">2026-04-02T18:59:58Z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D8881A2CBCDE4185AD9B016039BB4245_12</vt:lpwstr>
  </property>
  <property fmtid="{D5CDD505-2E9C-101B-9397-08002B2CF9AE}" pid="4" name="CalculationRule">
    <vt:i4>0</vt:i4>
  </property>
</Properties>
</file>