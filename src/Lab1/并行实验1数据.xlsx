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e\Downloads\并行模板\"/>
    </mc:Choice>
  </mc:AlternateContent>
  <xr:revisionPtr revIDLastSave="0" documentId="8_{7C32561F-4FC5-4BF0-B5D5-7BE7DA45569C}" xr6:coauthVersionLast="47" xr6:coauthVersionMax="47" xr10:uidLastSave="{00000000-0000-0000-0000-000000000000}"/>
  <bookViews>
    <workbookView xWindow="-110" yWindow="-110" windowWidth="25820" windowHeight="15500" xr2:uid="{B611E79D-D1FD-45CF-83B9-F0D4ADB79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2" i="1"/>
  <c r="S3" i="1"/>
  <c r="S4" i="1"/>
  <c r="S5" i="1"/>
  <c r="S6" i="1"/>
  <c r="S2" i="1"/>
  <c r="I3" i="1"/>
  <c r="I4" i="1"/>
  <c r="I5" i="1"/>
  <c r="I6" i="1"/>
  <c r="I2" i="1"/>
  <c r="J2" i="1" s="1"/>
  <c r="E3" i="1"/>
  <c r="J3" i="1" s="1"/>
  <c r="E4" i="1"/>
  <c r="E5" i="1"/>
  <c r="E6" i="1"/>
  <c r="E2" i="1"/>
  <c r="U6" i="1" l="1"/>
  <c r="U5" i="1"/>
  <c r="U4" i="1"/>
  <c r="U3" i="1"/>
  <c r="U2" i="1"/>
  <c r="J6" i="1"/>
  <c r="J5" i="1"/>
  <c r="J4" i="1"/>
</calcChain>
</file>

<file path=xl/sharedStrings.xml><?xml version="1.0" encoding="utf-8"?>
<sst xmlns="http://schemas.openxmlformats.org/spreadsheetml/2006/main" count="13" uniqueCount="13">
  <si>
    <t>内积平凡</t>
    <phoneticPr fontId="1" type="noConversion"/>
  </si>
  <si>
    <t>内积优化</t>
    <phoneticPr fontId="1" type="noConversion"/>
  </si>
  <si>
    <t>数列平凡</t>
    <phoneticPr fontId="1" type="noConversion"/>
  </si>
  <si>
    <t>数列优化</t>
    <phoneticPr fontId="1" type="noConversion"/>
  </si>
  <si>
    <t>Sum</t>
    <phoneticPr fontId="1" type="noConversion"/>
  </si>
  <si>
    <t>加速比2</t>
    <phoneticPr fontId="1" type="noConversion"/>
  </si>
  <si>
    <t>加速比1</t>
    <phoneticPr fontId="1" type="noConversion"/>
  </si>
  <si>
    <t>MatN</t>
    <phoneticPr fontId="1" type="noConversion"/>
  </si>
  <si>
    <t>ArrN</t>
    <phoneticPr fontId="1" type="noConversion"/>
  </si>
  <si>
    <t>Av内积平凡</t>
    <phoneticPr fontId="1" type="noConversion"/>
  </si>
  <si>
    <t>Av内积优化</t>
    <phoneticPr fontId="1" type="noConversion"/>
  </si>
  <si>
    <t>Av数列平凡</t>
    <phoneticPr fontId="1" type="noConversion"/>
  </si>
  <si>
    <t>Av数列优化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</si>
</sst>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E4AF-404B-4B84-A7F5-093CAF6DBF5F}">
  <dimension ref="A1:U6"/>
  <sheetViews>
    <sheetView tabSelected="1" workbookViewId="0">
      <selection activeCell="H15" sqref="H15"/>
    </sheetView>
  </sheetViews>
  <sheetFormatPr defaultRowHeight="14" x14ac:dyDescent="0.3"/>
  <cols>
    <col min="5" max="5" width="9.1640625" bestFit="1" customWidth="1"/>
    <col min="7" max="7" width="9.1640625" bestFit="1" customWidth="1"/>
    <col min="11" max="11" width="10.1640625" bestFit="1" customWidth="1"/>
    <col min="20" max="20" width="10.1640625" bestFit="1" customWidth="1"/>
  </cols>
  <sheetData>
    <row r="1" spans="1:21" x14ac:dyDescent="0.3">
      <c r="A1" t="s">
        <v>7</v>
      </c>
      <c r="B1" s="1" t="s">
        <v>0</v>
      </c>
      <c r="C1" s="1"/>
      <c r="D1" s="1"/>
      <c r="E1" t="s">
        <v>9</v>
      </c>
      <c r="F1" s="1" t="s">
        <v>1</v>
      </c>
      <c r="G1" s="1"/>
      <c r="H1" s="1"/>
      <c r="I1" t="s">
        <v>10</v>
      </c>
      <c r="J1" t="s">
        <v>6</v>
      </c>
      <c r="K1" t="s">
        <v>8</v>
      </c>
      <c r="L1" s="1" t="s">
        <v>2</v>
      </c>
      <c r="M1" s="1"/>
      <c r="N1" s="1"/>
      <c r="O1" t="s">
        <v>11</v>
      </c>
      <c r="P1" s="1" t="s">
        <v>3</v>
      </c>
      <c r="Q1" s="1"/>
      <c r="R1" s="1"/>
      <c r="S1" t="s">
        <v>12</v>
      </c>
      <c r="T1" t="s">
        <v>4</v>
      </c>
      <c r="U1" t="s">
        <v>5</v>
      </c>
    </row>
    <row r="2" spans="1:21" x14ac:dyDescent="0.3">
      <c r="A2">
        <v>512</v>
      </c>
      <c r="B2">
        <v>0.4</v>
      </c>
      <c r="C2">
        <v>0.4</v>
      </c>
      <c r="D2">
        <v>0.4</v>
      </c>
      <c r="E2">
        <f>AVERAGE(B2:D2)</f>
        <v>0.40000000000000008</v>
      </c>
      <c r="F2">
        <v>0.2</v>
      </c>
      <c r="G2">
        <v>0.2</v>
      </c>
      <c r="H2">
        <v>0.2</v>
      </c>
      <c r="I2">
        <f>AVERAGE(F2:H2)</f>
        <v>0.20000000000000004</v>
      </c>
      <c r="J2">
        <f>E2/I2</f>
        <v>2</v>
      </c>
      <c r="K2">
        <v>1000000</v>
      </c>
      <c r="L2">
        <v>1.54</v>
      </c>
      <c r="M2">
        <v>1.52</v>
      </c>
      <c r="N2">
        <v>1.54</v>
      </c>
      <c r="O2">
        <f>AVERAGE(L2:N2)</f>
        <v>1.5333333333333332</v>
      </c>
      <c r="P2">
        <v>0.42</v>
      </c>
      <c r="Q2">
        <v>0.4</v>
      </c>
      <c r="R2">
        <v>0.44</v>
      </c>
      <c r="S2">
        <f>AVERAGE(P2:R2)</f>
        <v>0.42</v>
      </c>
      <c r="T2">
        <v>1500000</v>
      </c>
      <c r="U2">
        <f>O2/S2</f>
        <v>3.6507936507936507</v>
      </c>
    </row>
    <row r="3" spans="1:21" x14ac:dyDescent="0.3">
      <c r="A3">
        <v>1024</v>
      </c>
      <c r="B3">
        <v>3</v>
      </c>
      <c r="C3">
        <v>3</v>
      </c>
      <c r="D3">
        <v>3</v>
      </c>
      <c r="E3">
        <f t="shared" ref="E3:E6" si="0">AVERAGE(B3:D3)</f>
        <v>3</v>
      </c>
      <c r="F3">
        <v>1</v>
      </c>
      <c r="G3">
        <v>1</v>
      </c>
      <c r="H3">
        <v>1</v>
      </c>
      <c r="I3">
        <f t="shared" ref="I3:I6" si="1">AVERAGE(F3:H3)</f>
        <v>1</v>
      </c>
      <c r="J3">
        <f t="shared" ref="J3:J6" si="2">E3/I3</f>
        <v>3</v>
      </c>
      <c r="K3">
        <v>5000000</v>
      </c>
      <c r="L3">
        <v>8.16</v>
      </c>
      <c r="M3">
        <v>8.02</v>
      </c>
      <c r="N3">
        <v>8.3800000000000008</v>
      </c>
      <c r="O3">
        <f>AVERAGE(L3:N3)</f>
        <v>8.1866666666666674</v>
      </c>
      <c r="P3">
        <v>3.34</v>
      </c>
      <c r="Q3">
        <v>3.22</v>
      </c>
      <c r="R3">
        <v>2.94</v>
      </c>
      <c r="S3">
        <f t="shared" ref="S3:S6" si="3">AVERAGE(P3:R3)</f>
        <v>3.1666666666666665</v>
      </c>
      <c r="T3">
        <v>7500000</v>
      </c>
      <c r="U3">
        <f t="shared" ref="U3:U6" si="4">O3/S3</f>
        <v>2.5852631578947372</v>
      </c>
    </row>
    <row r="4" spans="1:21" x14ac:dyDescent="0.3">
      <c r="A4">
        <v>2048</v>
      </c>
      <c r="B4">
        <v>39.200000000000003</v>
      </c>
      <c r="C4">
        <v>36.799999999999997</v>
      </c>
      <c r="D4">
        <v>37.799999999999997</v>
      </c>
      <c r="E4">
        <f t="shared" si="0"/>
        <v>37.93333333333333</v>
      </c>
      <c r="F4">
        <v>4.4000000000000004</v>
      </c>
      <c r="G4">
        <v>4.5999999999999996</v>
      </c>
      <c r="H4">
        <v>4.5999999999999996</v>
      </c>
      <c r="I4">
        <f t="shared" si="1"/>
        <v>4.5333333333333332</v>
      </c>
      <c r="J4">
        <f t="shared" si="2"/>
        <v>8.367647058823529</v>
      </c>
      <c r="K4">
        <v>10000000</v>
      </c>
      <c r="L4">
        <v>17.04</v>
      </c>
      <c r="M4">
        <v>16.62</v>
      </c>
      <c r="N4">
        <v>16.829999999999998</v>
      </c>
      <c r="O4">
        <f t="shared" ref="O3:O6" si="5">AVERAGE(L4:N4)</f>
        <v>16.829999999999998</v>
      </c>
      <c r="P4">
        <v>5.76</v>
      </c>
      <c r="Q4">
        <v>5.6</v>
      </c>
      <c r="R4">
        <v>5.74</v>
      </c>
      <c r="S4">
        <f t="shared" si="3"/>
        <v>5.7</v>
      </c>
      <c r="T4">
        <v>15000000</v>
      </c>
      <c r="U4">
        <f t="shared" si="4"/>
        <v>2.9526315789473681</v>
      </c>
    </row>
    <row r="5" spans="1:21" x14ac:dyDescent="0.3">
      <c r="A5">
        <v>4096</v>
      </c>
      <c r="B5">
        <v>208.2</v>
      </c>
      <c r="C5">
        <v>213</v>
      </c>
      <c r="D5">
        <v>205.2</v>
      </c>
      <c r="E5">
        <f t="shared" si="0"/>
        <v>208.79999999999998</v>
      </c>
      <c r="F5">
        <v>20.8</v>
      </c>
      <c r="G5">
        <v>20.2</v>
      </c>
      <c r="H5">
        <v>19.8</v>
      </c>
      <c r="I5">
        <f t="shared" si="1"/>
        <v>20.266666666666666</v>
      </c>
      <c r="J5">
        <f t="shared" si="2"/>
        <v>10.302631578947368</v>
      </c>
      <c r="K5">
        <v>50000000</v>
      </c>
      <c r="L5">
        <v>80.14</v>
      </c>
      <c r="M5">
        <v>79.86</v>
      </c>
      <c r="N5">
        <v>78.3</v>
      </c>
      <c r="O5">
        <f t="shared" si="5"/>
        <v>79.433333333333337</v>
      </c>
      <c r="P5">
        <v>28.64</v>
      </c>
      <c r="Q5">
        <v>20.36</v>
      </c>
      <c r="R5">
        <v>28.62</v>
      </c>
      <c r="S5">
        <f t="shared" si="3"/>
        <v>25.873333333333335</v>
      </c>
      <c r="T5">
        <v>75000000</v>
      </c>
      <c r="U5">
        <f t="shared" si="4"/>
        <v>3.0700850296315383</v>
      </c>
    </row>
    <row r="6" spans="1:21" x14ac:dyDescent="0.3">
      <c r="A6">
        <v>8192</v>
      </c>
      <c r="B6">
        <v>812</v>
      </c>
      <c r="C6">
        <v>781.8</v>
      </c>
      <c r="D6">
        <v>783.2</v>
      </c>
      <c r="E6">
        <f t="shared" si="0"/>
        <v>792.33333333333337</v>
      </c>
      <c r="F6">
        <v>75.8</v>
      </c>
      <c r="G6">
        <v>75.400000000000006</v>
      </c>
      <c r="H6">
        <v>75.400000000000006</v>
      </c>
      <c r="I6">
        <f t="shared" si="1"/>
        <v>75.533333333333331</v>
      </c>
      <c r="J6">
        <f t="shared" si="2"/>
        <v>10.489849955869374</v>
      </c>
      <c r="K6">
        <v>100000000</v>
      </c>
      <c r="L6">
        <v>157.54</v>
      </c>
      <c r="M6">
        <v>159.13999999999999</v>
      </c>
      <c r="N6">
        <v>157.28</v>
      </c>
      <c r="O6">
        <f t="shared" si="5"/>
        <v>157.98666666666665</v>
      </c>
      <c r="P6">
        <v>60.8</v>
      </c>
      <c r="Q6">
        <v>60.6</v>
      </c>
      <c r="R6">
        <v>57.84</v>
      </c>
      <c r="S6">
        <f t="shared" si="3"/>
        <v>59.74666666666667</v>
      </c>
      <c r="T6">
        <v>150000000</v>
      </c>
      <c r="U6">
        <f t="shared" si="4"/>
        <v>2.6442758312876586</v>
      </c>
    </row>
  </sheetData>
  <mergeCells count="4">
    <mergeCell ref="L1:N1"/>
    <mergeCell ref="P1:R1"/>
    <mergeCell ref="B1:D1"/>
    <mergeCell ref="F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Edward Hao</dc:creator>
  <cp:lastModifiedBy>Enzo Edward Hao</cp:lastModifiedBy>
  <dcterms:created xsi:type="dcterms:W3CDTF">2026-04-02T16:18:38Z</dcterms:created>
  <dcterms:modified xsi:type="dcterms:W3CDTF">2026-04-02T16:47:30Z</dcterms:modified>
</cp:coreProperties>
</file>